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161780\OneDrive - Alliance\Workspace\VBA\★_VBA_class\VBA_Basic_Y2021\VBA_Examples\"/>
    </mc:Choice>
  </mc:AlternateContent>
  <xr:revisionPtr revIDLastSave="0" documentId="13_ncr:1_{C63D558E-7826-4477-B919-5D129F4579F1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1" i="1" l="1"/>
  <c r="E31" i="1" s="1"/>
  <c r="F31" i="1" s="1"/>
  <c r="G31" i="1" s="1"/>
  <c r="H31" i="1" s="1"/>
  <c r="I31" i="1" s="1"/>
  <c r="J31" i="1" s="1"/>
  <c r="K31" i="1" s="1"/>
  <c r="L31" i="1" s="1"/>
  <c r="M31" i="1" s="1"/>
  <c r="N31" i="1" s="1"/>
  <c r="O31" i="1" s="1"/>
  <c r="P31" i="1" s="1"/>
  <c r="B35" i="1" a="1"/>
  <c r="B25" i="1" a="1"/>
  <c r="F25" i="1" a="1"/>
  <c r="B35" i="1" l="1"/>
  <c r="B25" i="1"/>
  <c r="F25" i="1"/>
  <c r="B5" i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<sst xmlns="http://schemas.openxmlformats.org/spreadsheetml/2006/main" count="10" uniqueCount="8">
  <si>
    <t>Degree</t>
  </si>
  <si>
    <t>factor</t>
  </si>
  <si>
    <t>ex) itpl1d(C31:R32,14)</t>
    <phoneticPr fontId="2" type="noConversion"/>
  </si>
  <si>
    <t>ex) itpl1d(B4:C19,14)</t>
    <phoneticPr fontId="2" type="noConversion"/>
  </si>
  <si>
    <t>itpl1d(참조 테이블, x값)</t>
    <phoneticPr fontId="2" type="noConversion"/>
  </si>
  <si>
    <t>itpl2d(참조 테이블, x값, y값)</t>
    <phoneticPr fontId="2" type="noConversion"/>
  </si>
  <si>
    <t>ex) itpl2d(F3:V19,0.2,1500)</t>
    <phoneticPr fontId="2" type="noConversion"/>
  </si>
  <si>
    <t>* itpl1d는 가로 테이블에도 동일하게 적용 가능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</si>
</sst>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0000"/>
  </numFmts>
  <fonts count="5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2"/>
      <scheme val="minor"/>
    </font>
    <font>
      <b/>
      <sz val="11"/>
      <color theme="1"/>
      <name val="맑은 고딕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3" fillId="0" borderId="2" xfId="0" applyFont="1" applyBorder="1" applyAlignment="1">
      <alignment horizontal="center"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8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9" xfId="0" applyBorder="1">
      <alignment vertical="center"/>
    </xf>
    <xf numFmtId="0" fontId="3" fillId="0" borderId="10" xfId="0" applyFont="1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1" fillId="0" borderId="8" xfId="0" applyFont="1" applyBorder="1" applyAlignment="1">
      <alignment vertical="center"/>
    </xf>
    <xf numFmtId="0" fontId="0" fillId="0" borderId="9" xfId="0" applyBorder="1" applyAlignment="1">
      <alignment vertical="center"/>
    </xf>
    <xf numFmtId="0" fontId="1" fillId="0" borderId="10" xfId="0" applyFont="1" applyBorder="1" applyAlignment="1">
      <alignment vertical="center"/>
    </xf>
    <xf numFmtId="0" fontId="0" fillId="0" borderId="12" xfId="0" applyBorder="1" applyAlignment="1">
      <alignment vertical="center"/>
    </xf>
    <xf numFmtId="0" fontId="1" fillId="0" borderId="15" xfId="0" applyFont="1" applyBorder="1" applyAlignment="1">
      <alignment vertical="center"/>
    </xf>
    <xf numFmtId="0" fontId="1" fillId="0" borderId="14" xfId="0" applyFont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1" fillId="0" borderId="0" xfId="0" quotePrefix="1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V35"/>
  <sheetViews>
    <sheetView tabSelected="1" workbookViewId="0">
      <selection activeCell="K25" sqref="K25"/>
    </sheetView>
  </sheetViews>
  <sheetFormatPr defaultRowHeight="16.5" x14ac:dyDescent="0.3"/>
  <cols>
    <col min="2" max="2" width="9.875" bestFit="1" customWidth="1"/>
  </cols>
  <sheetData>
    <row r="2" spans="2:22" ht="17.25" thickBot="1" x14ac:dyDescent="0.35">
      <c r="B2" s="1"/>
      <c r="C2" s="1"/>
    </row>
    <row r="3" spans="2:22" ht="17.25" thickBot="1" x14ac:dyDescent="0.35">
      <c r="B3" s="16" t="s">
        <v>0</v>
      </c>
      <c r="C3" s="17" t="s">
        <v>1</v>
      </c>
      <c r="F3" s="4"/>
      <c r="G3" s="5">
        <v>0</v>
      </c>
      <c r="H3" s="5">
        <v>3.1250003725290298E-2</v>
      </c>
      <c r="I3" s="5">
        <v>6.2500007450580597E-2</v>
      </c>
      <c r="J3" s="5">
        <v>0.125000014901161</v>
      </c>
      <c r="K3" s="5">
        <v>0.187500014901161</v>
      </c>
      <c r="L3" s="5">
        <v>0.250000029802322</v>
      </c>
      <c r="M3" s="5">
        <v>0.375000029802322</v>
      </c>
      <c r="N3" s="5">
        <v>0.437500059604644</v>
      </c>
      <c r="O3" s="5">
        <v>0.500000059604644</v>
      </c>
      <c r="P3" s="5">
        <v>0.562500059604644</v>
      </c>
      <c r="Q3" s="5">
        <v>0.625000059604644</v>
      </c>
      <c r="R3" s="5">
        <v>0.750000059604644</v>
      </c>
      <c r="S3" s="5">
        <v>0.843750059604644</v>
      </c>
      <c r="T3" s="5">
        <v>0.906250059604644</v>
      </c>
      <c r="U3" s="5">
        <v>0.968750059604644</v>
      </c>
      <c r="V3" s="6">
        <v>0.99919998645782404</v>
      </c>
    </row>
    <row r="4" spans="2:22" x14ac:dyDescent="0.3">
      <c r="B4" s="18">
        <v>0</v>
      </c>
      <c r="C4" s="19">
        <v>0</v>
      </c>
      <c r="F4" s="7">
        <v>0</v>
      </c>
      <c r="G4" s="8">
        <v>-10</v>
      </c>
      <c r="H4" s="8">
        <v>-7</v>
      </c>
      <c r="I4" s="8">
        <v>-4</v>
      </c>
      <c r="J4" s="8">
        <v>5</v>
      </c>
      <c r="K4" s="8">
        <v>14</v>
      </c>
      <c r="L4" s="8">
        <v>23</v>
      </c>
      <c r="M4" s="8">
        <v>38</v>
      </c>
      <c r="N4" s="8">
        <v>44</v>
      </c>
      <c r="O4" s="8">
        <v>50</v>
      </c>
      <c r="P4" s="8">
        <v>54</v>
      </c>
      <c r="Q4" s="8">
        <v>58</v>
      </c>
      <c r="R4" s="8">
        <v>68</v>
      </c>
      <c r="S4" s="8">
        <v>78</v>
      </c>
      <c r="T4" s="8">
        <v>85</v>
      </c>
      <c r="U4" s="8">
        <v>92</v>
      </c>
      <c r="V4" s="9">
        <v>96</v>
      </c>
    </row>
    <row r="5" spans="2:22" x14ac:dyDescent="0.3">
      <c r="B5" s="18">
        <f>B4+3</f>
        <v>3</v>
      </c>
      <c r="C5" s="19">
        <v>3.9060000000000002E-3</v>
      </c>
      <c r="F5" s="10">
        <v>800</v>
      </c>
      <c r="G5" s="11">
        <v>-16</v>
      </c>
      <c r="H5" s="11">
        <v>-10</v>
      </c>
      <c r="I5" s="11">
        <v>17</v>
      </c>
      <c r="J5" s="11">
        <v>22</v>
      </c>
      <c r="K5" s="11">
        <v>40</v>
      </c>
      <c r="L5" s="11">
        <v>50.5</v>
      </c>
      <c r="M5" s="11">
        <v>48.5</v>
      </c>
      <c r="N5" s="11">
        <v>54</v>
      </c>
      <c r="O5" s="11">
        <v>58</v>
      </c>
      <c r="P5" s="11">
        <v>65</v>
      </c>
      <c r="Q5" s="11">
        <v>72</v>
      </c>
      <c r="R5" s="11">
        <v>75</v>
      </c>
      <c r="S5" s="11">
        <v>82</v>
      </c>
      <c r="T5" s="11">
        <v>88</v>
      </c>
      <c r="U5" s="11">
        <v>104</v>
      </c>
      <c r="V5" s="12">
        <v>108</v>
      </c>
    </row>
    <row r="6" spans="2:22" x14ac:dyDescent="0.3">
      <c r="B6" s="18">
        <f t="shared" ref="B6:B17" si="0">B5+3</f>
        <v>6</v>
      </c>
      <c r="C6" s="19">
        <v>1.9531E-2</v>
      </c>
      <c r="F6" s="10">
        <v>1200</v>
      </c>
      <c r="G6" s="11">
        <v>-23</v>
      </c>
      <c r="H6" s="11">
        <v>-13</v>
      </c>
      <c r="I6" s="11">
        <v>15</v>
      </c>
      <c r="J6" s="11">
        <v>28</v>
      </c>
      <c r="K6" s="11">
        <v>46</v>
      </c>
      <c r="L6" s="11">
        <v>62</v>
      </c>
      <c r="M6" s="11">
        <v>84</v>
      </c>
      <c r="N6" s="11">
        <v>100</v>
      </c>
      <c r="O6" s="11">
        <v>109</v>
      </c>
      <c r="P6" s="11">
        <v>116</v>
      </c>
      <c r="Q6" s="11">
        <v>130</v>
      </c>
      <c r="R6" s="11">
        <v>146</v>
      </c>
      <c r="S6" s="11">
        <v>158</v>
      </c>
      <c r="T6" s="11">
        <v>159</v>
      </c>
      <c r="U6" s="11">
        <v>159.5</v>
      </c>
      <c r="V6" s="12">
        <v>160</v>
      </c>
    </row>
    <row r="7" spans="2:22" x14ac:dyDescent="0.3">
      <c r="B7" s="18">
        <f t="shared" si="0"/>
        <v>9</v>
      </c>
      <c r="C7" s="19">
        <v>4.6875E-2</v>
      </c>
      <c r="F7" s="10">
        <v>1600</v>
      </c>
      <c r="G7" s="11">
        <v>-28</v>
      </c>
      <c r="H7" s="11">
        <v>-16</v>
      </c>
      <c r="I7" s="11">
        <v>6</v>
      </c>
      <c r="J7" s="11">
        <v>26</v>
      </c>
      <c r="K7" s="11">
        <v>45</v>
      </c>
      <c r="L7" s="11">
        <v>61.5</v>
      </c>
      <c r="M7" s="11">
        <v>96</v>
      </c>
      <c r="N7" s="11">
        <v>120</v>
      </c>
      <c r="O7" s="11">
        <v>135</v>
      </c>
      <c r="P7" s="11">
        <v>147</v>
      </c>
      <c r="Q7" s="11">
        <v>163</v>
      </c>
      <c r="R7" s="11">
        <v>186</v>
      </c>
      <c r="S7" s="11">
        <v>209.5</v>
      </c>
      <c r="T7" s="11">
        <v>212</v>
      </c>
      <c r="U7" s="11">
        <v>217</v>
      </c>
      <c r="V7" s="12">
        <v>219</v>
      </c>
    </row>
    <row r="8" spans="2:22" x14ac:dyDescent="0.3">
      <c r="B8" s="18">
        <f t="shared" si="0"/>
        <v>12</v>
      </c>
      <c r="C8" s="19">
        <v>8.2031000000000007E-2</v>
      </c>
      <c r="F8" s="10">
        <v>2000</v>
      </c>
      <c r="G8" s="11">
        <v>-28</v>
      </c>
      <c r="H8" s="11">
        <v>-17</v>
      </c>
      <c r="I8" s="11">
        <v>9</v>
      </c>
      <c r="J8" s="11">
        <v>28</v>
      </c>
      <c r="K8" s="11">
        <v>46.5</v>
      </c>
      <c r="L8" s="11">
        <v>65.5</v>
      </c>
      <c r="M8" s="11">
        <v>106</v>
      </c>
      <c r="N8" s="11">
        <v>132</v>
      </c>
      <c r="O8" s="11">
        <v>144</v>
      </c>
      <c r="P8" s="11">
        <v>154</v>
      </c>
      <c r="Q8" s="11">
        <v>168</v>
      </c>
      <c r="R8" s="11">
        <v>190</v>
      </c>
      <c r="S8" s="11">
        <v>221</v>
      </c>
      <c r="T8" s="11">
        <v>237</v>
      </c>
      <c r="U8" s="11">
        <v>238</v>
      </c>
      <c r="V8" s="12">
        <v>239</v>
      </c>
    </row>
    <row r="9" spans="2:22" x14ac:dyDescent="0.3">
      <c r="B9" s="18">
        <f t="shared" si="0"/>
        <v>15</v>
      </c>
      <c r="C9" s="19">
        <v>0.12890599999999999</v>
      </c>
      <c r="F9" s="10">
        <v>2400</v>
      </c>
      <c r="G9" s="11">
        <v>-23</v>
      </c>
      <c r="H9" s="11">
        <v>-15</v>
      </c>
      <c r="I9" s="11">
        <v>10.5</v>
      </c>
      <c r="J9" s="11">
        <v>30</v>
      </c>
      <c r="K9" s="11">
        <v>49.5</v>
      </c>
      <c r="L9" s="11">
        <v>67</v>
      </c>
      <c r="M9" s="11">
        <v>121</v>
      </c>
      <c r="N9" s="11">
        <v>145</v>
      </c>
      <c r="O9" s="11">
        <v>167</v>
      </c>
      <c r="P9" s="11">
        <v>182</v>
      </c>
      <c r="Q9" s="11">
        <v>198</v>
      </c>
      <c r="R9" s="11">
        <v>225</v>
      </c>
      <c r="S9" s="11">
        <v>244</v>
      </c>
      <c r="T9" s="11">
        <v>249</v>
      </c>
      <c r="U9" s="11">
        <v>254</v>
      </c>
      <c r="V9" s="12">
        <v>255</v>
      </c>
    </row>
    <row r="10" spans="2:22" x14ac:dyDescent="0.3">
      <c r="B10" s="18">
        <f t="shared" si="0"/>
        <v>18</v>
      </c>
      <c r="C10" s="19">
        <v>0.18359400000000001</v>
      </c>
      <c r="F10" s="10">
        <v>2800</v>
      </c>
      <c r="G10" s="11">
        <v>-23</v>
      </c>
      <c r="H10" s="11">
        <v>-15</v>
      </c>
      <c r="I10" s="11">
        <v>11</v>
      </c>
      <c r="J10" s="11">
        <v>31.5</v>
      </c>
      <c r="K10" s="11">
        <v>49.5</v>
      </c>
      <c r="L10" s="11">
        <v>69</v>
      </c>
      <c r="M10" s="11">
        <v>126.5</v>
      </c>
      <c r="N10" s="11">
        <v>151</v>
      </c>
      <c r="O10" s="11">
        <v>164.5</v>
      </c>
      <c r="P10" s="11">
        <v>184</v>
      </c>
      <c r="Q10" s="11">
        <v>198.5</v>
      </c>
      <c r="R10" s="11">
        <v>230.5</v>
      </c>
      <c r="S10" s="11">
        <v>245</v>
      </c>
      <c r="T10" s="11">
        <v>250</v>
      </c>
      <c r="U10" s="11">
        <v>256</v>
      </c>
      <c r="V10" s="12">
        <v>260</v>
      </c>
    </row>
    <row r="11" spans="2:22" x14ac:dyDescent="0.3">
      <c r="B11" s="18">
        <f t="shared" si="0"/>
        <v>21</v>
      </c>
      <c r="C11" s="19">
        <v>0.25</v>
      </c>
      <c r="F11" s="10">
        <v>3200</v>
      </c>
      <c r="G11" s="11">
        <v>-25</v>
      </c>
      <c r="H11" s="11">
        <v>-18</v>
      </c>
      <c r="I11" s="11">
        <v>14.5</v>
      </c>
      <c r="J11" s="11">
        <v>33.5</v>
      </c>
      <c r="K11" s="11">
        <v>50.5</v>
      </c>
      <c r="L11" s="11">
        <v>70</v>
      </c>
      <c r="M11" s="11">
        <v>122</v>
      </c>
      <c r="N11" s="11">
        <v>146</v>
      </c>
      <c r="O11" s="11">
        <v>154.5</v>
      </c>
      <c r="P11" s="11">
        <v>180.5</v>
      </c>
      <c r="Q11" s="11">
        <v>200.5</v>
      </c>
      <c r="R11" s="11">
        <v>228.5</v>
      </c>
      <c r="S11" s="11">
        <v>246</v>
      </c>
      <c r="T11" s="11">
        <v>254</v>
      </c>
      <c r="U11" s="11">
        <v>259</v>
      </c>
      <c r="V11" s="12">
        <v>260</v>
      </c>
    </row>
    <row r="12" spans="2:22" x14ac:dyDescent="0.3">
      <c r="B12" s="18">
        <f t="shared" si="0"/>
        <v>24</v>
      </c>
      <c r="C12" s="19">
        <v>0.32421899999999998</v>
      </c>
      <c r="F12" s="10">
        <v>3600</v>
      </c>
      <c r="G12" s="11">
        <v>-30</v>
      </c>
      <c r="H12" s="11">
        <v>-16</v>
      </c>
      <c r="I12" s="11">
        <v>10</v>
      </c>
      <c r="J12" s="11">
        <v>30.5</v>
      </c>
      <c r="K12" s="11">
        <v>47</v>
      </c>
      <c r="L12" s="11">
        <v>60</v>
      </c>
      <c r="M12" s="11">
        <v>116.5</v>
      </c>
      <c r="N12" s="11">
        <v>143</v>
      </c>
      <c r="O12" s="11">
        <v>155.5</v>
      </c>
      <c r="P12" s="11">
        <v>169.5</v>
      </c>
      <c r="Q12" s="11">
        <v>195.5</v>
      </c>
      <c r="R12" s="11">
        <v>221</v>
      </c>
      <c r="S12" s="11">
        <v>238</v>
      </c>
      <c r="T12" s="11">
        <v>251</v>
      </c>
      <c r="U12" s="11">
        <v>257</v>
      </c>
      <c r="V12" s="12">
        <v>261</v>
      </c>
    </row>
    <row r="13" spans="2:22" x14ac:dyDescent="0.3">
      <c r="B13" s="18">
        <f t="shared" si="0"/>
        <v>27</v>
      </c>
      <c r="C13" s="19">
        <v>0.41406300000000001</v>
      </c>
      <c r="F13" s="10">
        <v>4000</v>
      </c>
      <c r="G13" s="11">
        <v>-38</v>
      </c>
      <c r="H13" s="11">
        <v>-23</v>
      </c>
      <c r="I13" s="11">
        <v>9.5</v>
      </c>
      <c r="J13" s="11">
        <v>31</v>
      </c>
      <c r="K13" s="11">
        <v>46.5</v>
      </c>
      <c r="L13" s="11">
        <v>66</v>
      </c>
      <c r="M13" s="11">
        <v>109</v>
      </c>
      <c r="N13" s="11">
        <v>127</v>
      </c>
      <c r="O13" s="11">
        <v>152</v>
      </c>
      <c r="P13" s="11">
        <v>167</v>
      </c>
      <c r="Q13" s="11">
        <v>189</v>
      </c>
      <c r="R13" s="11">
        <v>215</v>
      </c>
      <c r="S13" s="11">
        <v>232</v>
      </c>
      <c r="T13" s="11">
        <v>247</v>
      </c>
      <c r="U13" s="11">
        <v>254</v>
      </c>
      <c r="V13" s="12">
        <v>260</v>
      </c>
    </row>
    <row r="14" spans="2:22" x14ac:dyDescent="0.3">
      <c r="B14" s="18">
        <f t="shared" si="0"/>
        <v>30</v>
      </c>
      <c r="C14" s="19">
        <v>0.50781299999999996</v>
      </c>
      <c r="F14" s="10">
        <v>4400</v>
      </c>
      <c r="G14" s="11">
        <v>-36</v>
      </c>
      <c r="H14" s="11">
        <v>-17</v>
      </c>
      <c r="I14" s="11">
        <v>5.5</v>
      </c>
      <c r="J14" s="11">
        <v>25.5</v>
      </c>
      <c r="K14" s="11">
        <v>41</v>
      </c>
      <c r="L14" s="11">
        <v>62</v>
      </c>
      <c r="M14" s="11">
        <v>104</v>
      </c>
      <c r="N14" s="11">
        <v>117</v>
      </c>
      <c r="O14" s="11">
        <v>136</v>
      </c>
      <c r="P14" s="11">
        <v>166</v>
      </c>
      <c r="Q14" s="11">
        <v>188</v>
      </c>
      <c r="R14" s="11">
        <v>216.5</v>
      </c>
      <c r="S14" s="11">
        <v>231</v>
      </c>
      <c r="T14" s="11">
        <v>244</v>
      </c>
      <c r="U14" s="11">
        <v>253</v>
      </c>
      <c r="V14" s="12">
        <v>258</v>
      </c>
    </row>
    <row r="15" spans="2:22" x14ac:dyDescent="0.3">
      <c r="B15" s="18">
        <f t="shared" si="0"/>
        <v>33</v>
      </c>
      <c r="C15" s="19">
        <v>0.61718799999999996</v>
      </c>
      <c r="F15" s="10">
        <v>4800</v>
      </c>
      <c r="G15" s="11">
        <v>-35</v>
      </c>
      <c r="H15" s="11">
        <v>-18</v>
      </c>
      <c r="I15" s="11">
        <v>3</v>
      </c>
      <c r="J15" s="11">
        <v>21.5</v>
      </c>
      <c r="K15" s="11">
        <v>36.5</v>
      </c>
      <c r="L15" s="11">
        <v>63</v>
      </c>
      <c r="M15" s="11">
        <v>99</v>
      </c>
      <c r="N15" s="11">
        <v>117</v>
      </c>
      <c r="O15" s="11">
        <v>136</v>
      </c>
      <c r="P15" s="11">
        <v>165</v>
      </c>
      <c r="Q15" s="11">
        <v>187.5</v>
      </c>
      <c r="R15" s="11">
        <v>217</v>
      </c>
      <c r="S15" s="11">
        <v>230</v>
      </c>
      <c r="T15" s="11">
        <v>241</v>
      </c>
      <c r="U15" s="11">
        <v>249</v>
      </c>
      <c r="V15" s="12">
        <v>251</v>
      </c>
    </row>
    <row r="16" spans="2:22" x14ac:dyDescent="0.3">
      <c r="B16" s="18">
        <f t="shared" si="0"/>
        <v>36</v>
      </c>
      <c r="C16" s="19">
        <v>0.734375</v>
      </c>
      <c r="F16" s="10">
        <v>5200</v>
      </c>
      <c r="G16" s="11">
        <v>-41</v>
      </c>
      <c r="H16" s="11">
        <v>-19</v>
      </c>
      <c r="I16" s="11">
        <v>-1.5</v>
      </c>
      <c r="J16" s="11">
        <v>20.5</v>
      </c>
      <c r="K16" s="11">
        <v>36.5</v>
      </c>
      <c r="L16" s="11">
        <v>64.5</v>
      </c>
      <c r="M16" s="11">
        <v>99</v>
      </c>
      <c r="N16" s="11">
        <v>120</v>
      </c>
      <c r="O16" s="11">
        <v>148</v>
      </c>
      <c r="P16" s="11">
        <v>168</v>
      </c>
      <c r="Q16" s="11">
        <v>190.5</v>
      </c>
      <c r="R16" s="11">
        <v>218.5</v>
      </c>
      <c r="S16" s="11">
        <v>236.5</v>
      </c>
      <c r="T16" s="11">
        <v>241.5</v>
      </c>
      <c r="U16" s="11">
        <v>244.5</v>
      </c>
      <c r="V16" s="12">
        <v>246</v>
      </c>
    </row>
    <row r="17" spans="2:22" x14ac:dyDescent="0.3">
      <c r="B17" s="18">
        <f t="shared" si="0"/>
        <v>39</v>
      </c>
      <c r="C17" s="19">
        <v>0.859375</v>
      </c>
      <c r="F17" s="10">
        <v>5600</v>
      </c>
      <c r="G17" s="11">
        <v>-38</v>
      </c>
      <c r="H17" s="11">
        <v>-17</v>
      </c>
      <c r="I17" s="11">
        <v>-1.5</v>
      </c>
      <c r="J17" s="11">
        <v>18.5</v>
      </c>
      <c r="K17" s="11">
        <v>36.5</v>
      </c>
      <c r="L17" s="11">
        <v>59</v>
      </c>
      <c r="M17" s="11">
        <v>95</v>
      </c>
      <c r="N17" s="11">
        <v>114.5</v>
      </c>
      <c r="O17" s="11">
        <v>146.5</v>
      </c>
      <c r="P17" s="11">
        <v>165</v>
      </c>
      <c r="Q17" s="11">
        <v>171</v>
      </c>
      <c r="R17" s="11">
        <v>206</v>
      </c>
      <c r="S17" s="11">
        <v>220</v>
      </c>
      <c r="T17" s="11">
        <v>232</v>
      </c>
      <c r="U17" s="11">
        <v>237</v>
      </c>
      <c r="V17" s="12">
        <v>238</v>
      </c>
    </row>
    <row r="18" spans="2:22" x14ac:dyDescent="0.3">
      <c r="B18" s="18">
        <v>40</v>
      </c>
      <c r="C18" s="19">
        <v>0.904667</v>
      </c>
      <c r="F18" s="10">
        <v>6000</v>
      </c>
      <c r="G18" s="11">
        <v>-43</v>
      </c>
      <c r="H18" s="11">
        <v>-21</v>
      </c>
      <c r="I18" s="11">
        <v>-7</v>
      </c>
      <c r="J18" s="11">
        <v>12.5</v>
      </c>
      <c r="K18" s="11">
        <v>31</v>
      </c>
      <c r="L18" s="11">
        <v>54.5</v>
      </c>
      <c r="M18" s="11">
        <v>89</v>
      </c>
      <c r="N18" s="11">
        <v>102.5</v>
      </c>
      <c r="O18" s="11">
        <v>132</v>
      </c>
      <c r="P18" s="11">
        <v>160</v>
      </c>
      <c r="Q18" s="11">
        <v>170</v>
      </c>
      <c r="R18" s="11">
        <v>195</v>
      </c>
      <c r="S18" s="11">
        <v>204</v>
      </c>
      <c r="T18" s="11">
        <v>219</v>
      </c>
      <c r="U18" s="11">
        <v>223</v>
      </c>
      <c r="V18" s="12">
        <v>224</v>
      </c>
    </row>
    <row r="19" spans="2:22" ht="17.25" thickBot="1" x14ac:dyDescent="0.35">
      <c r="B19" s="20">
        <v>42</v>
      </c>
      <c r="C19" s="21">
        <v>0.99609400000000003</v>
      </c>
      <c r="F19" s="13">
        <v>6400</v>
      </c>
      <c r="G19" s="14">
        <v>-87</v>
      </c>
      <c r="H19" s="14">
        <v>-59</v>
      </c>
      <c r="I19" s="14">
        <v>-10</v>
      </c>
      <c r="J19" s="14">
        <v>4.5</v>
      </c>
      <c r="K19" s="14">
        <v>24.5</v>
      </c>
      <c r="L19" s="14">
        <v>46</v>
      </c>
      <c r="M19" s="14">
        <v>77</v>
      </c>
      <c r="N19" s="14">
        <v>89.5</v>
      </c>
      <c r="O19" s="14">
        <v>117</v>
      </c>
      <c r="P19" s="14">
        <v>137.5</v>
      </c>
      <c r="Q19" s="14">
        <v>152</v>
      </c>
      <c r="R19" s="14">
        <v>175.5</v>
      </c>
      <c r="S19" s="14">
        <v>189.5</v>
      </c>
      <c r="T19" s="14">
        <v>200</v>
      </c>
      <c r="U19" s="14">
        <v>204</v>
      </c>
      <c r="V19" s="15">
        <v>205</v>
      </c>
    </row>
    <row r="22" spans="2:22" x14ac:dyDescent="0.3">
      <c r="B22" s="26" t="s">
        <v>4</v>
      </c>
      <c r="F22" s="26" t="s">
        <v>5</v>
      </c>
    </row>
    <row r="24" spans="2:22" x14ac:dyDescent="0.3">
      <c r="B24" s="2" t="s">
        <v>3</v>
      </c>
      <c r="F24" t="s">
        <v>6</v>
      </c>
    </row>
    <row r="25" spans="2:22" x14ac:dyDescent="0.3">
      <c r="B25" s="3" cm="1">
        <f t="array" ref="B25">itpl1d(B4:C19,10)</f>
        <v>5.8593666666666669E-2</v>
      </c>
      <c r="F25" cm="1">
        <f t="array" ref="F25">itpl2d(F3:V19,0.2,1500)</f>
        <v>48.524995315076097</v>
      </c>
    </row>
    <row r="29" spans="2:22" x14ac:dyDescent="0.3">
      <c r="B29" s="26" t="s">
        <v>7</v>
      </c>
    </row>
    <row r="30" spans="2:22" ht="17.25" thickBot="1" x14ac:dyDescent="0.35"/>
    <row r="31" spans="2:22" x14ac:dyDescent="0.3">
      <c r="B31" s="16" t="s">
        <v>0</v>
      </c>
      <c r="C31" s="22">
        <v>0</v>
      </c>
      <c r="D31" s="22">
        <f t="shared" ref="D31:P31" si="1">C31+3</f>
        <v>3</v>
      </c>
      <c r="E31" s="22">
        <f t="shared" si="1"/>
        <v>6</v>
      </c>
      <c r="F31" s="22">
        <f t="shared" si="1"/>
        <v>9</v>
      </c>
      <c r="G31" s="22">
        <f t="shared" si="1"/>
        <v>12</v>
      </c>
      <c r="H31" s="22">
        <f t="shared" si="1"/>
        <v>15</v>
      </c>
      <c r="I31" s="22">
        <f t="shared" si="1"/>
        <v>18</v>
      </c>
      <c r="J31" s="22">
        <f t="shared" si="1"/>
        <v>21</v>
      </c>
      <c r="K31" s="22">
        <f t="shared" si="1"/>
        <v>24</v>
      </c>
      <c r="L31" s="22">
        <f t="shared" si="1"/>
        <v>27</v>
      </c>
      <c r="M31" s="22">
        <f t="shared" si="1"/>
        <v>30</v>
      </c>
      <c r="N31" s="22">
        <f t="shared" si="1"/>
        <v>33</v>
      </c>
      <c r="O31" s="22">
        <f t="shared" si="1"/>
        <v>36</v>
      </c>
      <c r="P31" s="22">
        <f t="shared" si="1"/>
        <v>39</v>
      </c>
      <c r="Q31" s="22">
        <v>40</v>
      </c>
      <c r="R31" s="23">
        <v>42</v>
      </c>
    </row>
    <row r="32" spans="2:22" ht="17.25" thickBot="1" x14ac:dyDescent="0.35">
      <c r="B32" s="24" t="s">
        <v>1</v>
      </c>
      <c r="C32" s="25">
        <v>0</v>
      </c>
      <c r="D32" s="25">
        <v>3.9060000000000002E-3</v>
      </c>
      <c r="E32" s="25">
        <v>1.9531E-2</v>
      </c>
      <c r="F32" s="25">
        <v>4.6875E-2</v>
      </c>
      <c r="G32" s="25">
        <v>8.2031000000000007E-2</v>
      </c>
      <c r="H32" s="25">
        <v>0.12890599999999999</v>
      </c>
      <c r="I32" s="25">
        <v>0.18359400000000001</v>
      </c>
      <c r="J32" s="25">
        <v>0.25</v>
      </c>
      <c r="K32" s="25">
        <v>0.32421899999999998</v>
      </c>
      <c r="L32" s="25">
        <v>0.41406300000000001</v>
      </c>
      <c r="M32" s="25">
        <v>0.50781299999999996</v>
      </c>
      <c r="N32" s="25">
        <v>0.61718799999999996</v>
      </c>
      <c r="O32" s="25">
        <v>0.734375</v>
      </c>
      <c r="P32" s="25">
        <v>0.859375</v>
      </c>
      <c r="Q32" s="25">
        <v>0.904667</v>
      </c>
      <c r="R32" s="21">
        <v>0.99609400000000003</v>
      </c>
    </row>
    <row r="34" spans="2:2" x14ac:dyDescent="0.3">
      <c r="B34" s="2" t="s">
        <v>2</v>
      </c>
    </row>
    <row r="35" spans="2:2" x14ac:dyDescent="0.3">
      <c r="B35" cm="1">
        <f t="array" ref="B35">itpl1d(C31:R32,14)</f>
        <v>0.11328099999999999</v>
      </c>
    </row>
  </sheetData>
  <phoneticPr fontId="2" type="noConversion"/>
  <pageMargins left="0.7" right="0.7" top="0.75" bottom="0.75" header="0.3" footer="0.3"/>
  <pageSetup paperSize="9" orientation="portrait" r:id="rId1"/>
  <headerFooter>
    <oddFooter>&amp;R&amp;1#&amp;"Arial"&amp;10&amp;K000000Confidential C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KANG Jungmin</dc:creator>
  <cp:lastModifiedBy>KANG Jungmin</cp:lastModifiedBy>
  <dcterms:created xsi:type="dcterms:W3CDTF">2017-06-01T07:01:38Z</dcterms:created>
  <dcterms:modified xsi:type="dcterms:W3CDTF">2021-12-24T06:30:11Z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d1c0902-ed92-4fed-896d-2e7725de02d4_Enabled">
    <vt:lpwstr>true</vt:lpwstr>
  </property>
  <property fmtid="{D5CDD505-2E9C-101B-9397-08002B2CF9AE}" pid="3" name="MSIP_Label_fd1c0902-ed92-4fed-896d-2e7725de02d4_SetDate">
    <vt:lpwstr>2021-12-24T06:30:11Z</vt:lpwstr>
  </property>
  <property fmtid="{D5CDD505-2E9C-101B-9397-08002B2CF9AE}" pid="4" name="MSIP_Label_fd1c0902-ed92-4fed-896d-2e7725de02d4_Method">
    <vt:lpwstr>Standard</vt:lpwstr>
  </property>
  <property fmtid="{D5CDD505-2E9C-101B-9397-08002B2CF9AE}" pid="5" name="MSIP_Label_fd1c0902-ed92-4fed-896d-2e7725de02d4_Name">
    <vt:lpwstr>Anyone (not protected)</vt:lpwstr>
  </property>
  <property fmtid="{D5CDD505-2E9C-101B-9397-08002B2CF9AE}" pid="6" name="MSIP_Label_fd1c0902-ed92-4fed-896d-2e7725de02d4_SiteId">
    <vt:lpwstr>d6b0bbee-7cd9-4d60-bce6-4a67b543e2ae</vt:lpwstr>
  </property>
  <property fmtid="{D5CDD505-2E9C-101B-9397-08002B2CF9AE}" pid="7" name="MSIP_Label_fd1c0902-ed92-4fed-896d-2e7725de02d4_ActionId">
    <vt:lpwstr>f9b171f5-ac16-4095-84c1-5ff67d53a43f</vt:lpwstr>
  </property>
  <property fmtid="{D5CDD505-2E9C-101B-9397-08002B2CF9AE}" pid="8" name="MSIP_Label_fd1c0902-ed92-4fed-896d-2e7725de02d4_ContentBits">
    <vt:lpwstr>2</vt:lpwstr>
  </property>
</Properties>
</file>